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3"/>
  <workbookPr/>
  <mc:AlternateContent xmlns:mc="http://schemas.openxmlformats.org/markup-compatibility/2006">
    <mc:Choice Requires="x15">
      <x15ac:absPath xmlns:x15ac="http://schemas.microsoft.com/office/spreadsheetml/2010/11/ac" url="https://wenspokcorp-my.sharepoint.com/personal/ckuran_wenspok_com/Documents/Projects/HTML Projects/Harmony/"/>
    </mc:Choice>
  </mc:AlternateContent>
  <xr:revisionPtr revIDLastSave="39" documentId="11_F25DC773A252ABDACC1048EC9198772C5ADE58EE" xr6:coauthVersionLast="47" xr6:coauthVersionMax="47" xr10:uidLastSave="{C886AE6B-6674-4BF9-96DE-A73B26BDF78D}"/>
  <bookViews>
    <workbookView xWindow="-51720" yWindow="-5505" windowWidth="41520" windowHeight="168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2" i="1"/>
  <c r="B17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2" i="1"/>
</calcChain>
</file>

<file path=xl/sharedStrings.xml><?xml version="1.0" encoding="utf-8"?>
<sst xmlns="http://schemas.openxmlformats.org/spreadsheetml/2006/main" count="137" uniqueCount="137">
  <si>
    <t>Site</t>
  </si>
  <si>
    <t>storeName</t>
  </si>
  <si>
    <t>joltLocationID</t>
  </si>
  <si>
    <t>TG9jYXRpb246MDAwNTg3NWMyNjBkNGNkYWU2YTVmYzkzZTAzZTZkOGQ=</t>
  </si>
  <si>
    <t>TG9jYXRpb246MDAwNTg3NWIyNjBkNGM2Y2Q0MTJjYzU4YjIyN2JmYjM=</t>
  </si>
  <si>
    <t>TG9jYXRpb246MDAwNTg3NWIyNjBkNGM2ZDc4ODE2MDg1YmIzZjdhNzI=</t>
  </si>
  <si>
    <t>TG9jYXRpb246MDAwNTg3MmQyNjBkNGNjODEwOGIwOWRiNTMxNDk2MTk=</t>
  </si>
  <si>
    <t>TG9jYXRpb246MDAwNTg3MmQyNjBkNGNjODg0ZmU0NTg4NDY1ZTBmOGU=</t>
  </si>
  <si>
    <t>TG9jYXRpb246MDAwNTg3NWMyNjBkNGNkYWViNDdjN2UyNDBhMjg3ZmY=</t>
  </si>
  <si>
    <t>TG9jYXRpb246MDAwNTg3NWMyNjBkNGNkYWM4Mzk1NTI5MjMxOTRjOTA=</t>
  </si>
  <si>
    <t>TG9jYXRpb246MDAwNTg3NWMyNjBkNGNkYWQ4ZmJlZjg5OGY0ZWI0ZWM=</t>
  </si>
  <si>
    <t>TG9jYXRpb246MDAwNTg3NWIyNjBkNGM2Yjc2YTYyNGU0Y2Y1NDMwMGQ=</t>
  </si>
  <si>
    <t>TG9jYXRpb246MDAwNTg3NWMyNjBkNGNkYWY5MmU1NWEwMGZmNTI5YWY=</t>
  </si>
  <si>
    <t>TG9jYXRpb246MDAwNTg3NWIyNjBkNGM2YmY3NGMxYTAwZDBlYzE3N2Q=</t>
  </si>
  <si>
    <t>TG9jYXRpb246MDAwNjEyOTMyNjEzOTFjZTQ2YjZmYWE3MWE4MjFjY2E=</t>
  </si>
  <si>
    <t>TG9jYXRpb246MDAwNTg3NWIyNjBkNGM2ZDY4MjRjYzY3MmJlNzIxODc=</t>
  </si>
  <si>
    <t>TG9jYXRpb246MDAwZDAxMzkyNjM3NjgwMWE0ZWMyOGM1NTA5ZDhjNDY=</t>
  </si>
  <si>
    <t>TG9jYXRpb246MDAxMmE5YmEyNjQ1NTJlN2RlNjcyZTQ3ZGM3NWNlNjU=</t>
  </si>
  <si>
    <t>TG9jYXRpb246MDAyM2U4MzkyNjdmNTRhMGMyNzAxOTRkMTZjZGE0NjE=</t>
  </si>
  <si>
    <t>TG9jYXRpb246MDAwNTg3MmQyNjBkNGNjODU2NGY2MzVmYTIzOTRiNDA=</t>
  </si>
  <si>
    <t>TG9jYXRpb246MDAwNTg3MmQyNjBkNGNjODRkNGU5ODk4ZTNlMDRlNTM=</t>
  </si>
  <si>
    <t>TG9jYXRpb246MDAwNTg3MmQyNjBkNGNjODQ4ZmRjYzMxYWNhNDA1YWI=</t>
  </si>
  <si>
    <t>TG9jYXRpb246MDAwNTg3NWIyNjBkNGM2ZDgzMzg1YmUyZTg5N2MwZDc=</t>
  </si>
  <si>
    <t>TG9jYXRpb246MDAwNTg3NWIyNjBkNGM2Y2E4YWNhNTAxYzY0NDRiYjU=</t>
  </si>
  <si>
    <t>TG9jYXRpb246MDAwNTg3MmQyNjBkNGNjODQzMmFiYTI2MGZiN2Y5YWU=</t>
  </si>
  <si>
    <t>TG9jYXRpb246MDAwNTg3NWIyNjBkNGM2ZDA4YWI4MGJkNDE5YzllMjg=</t>
  </si>
  <si>
    <t>TG9jYXRpb246MDAwNTg3MmQyNjBkNGNjODVhZjliNWRjYThhMGZmMWI=</t>
  </si>
  <si>
    <t>TG9jYXRpb246MDAwNTg3MmQyNjBkNGNjODFhMTA0NDU5ODJiZmZiZjU=</t>
  </si>
  <si>
    <t>TG9jYXRpb246MDAwNTg3MmQyNjBkNGNjODE1MjkwODk2OWI0MWFkZmI=</t>
  </si>
  <si>
    <t>TG9jYXRpb246MDAwNTg3NWMyNjBkNGNkYWMzMDNjNjY4N2FkZGY3NjQ=</t>
  </si>
  <si>
    <t>TG9jYXRpb246MDAwNTg3NWIyNjBkNGM2YjhhMWM1MDJmYWZkYmU5NDY=</t>
  </si>
  <si>
    <t>TG9jYXRpb246MDAwNTg3MmQyNjBkNGNjODA2ZGE5MzUxODNiZTk1YmI=</t>
  </si>
  <si>
    <t>TG9jYXRpb246MDAwNTg3NWIyNjBkNGM2YzM3MTFjZDBmZjUzNDNhYmM=</t>
  </si>
  <si>
    <t>TG9jYXRpb246MDAwNTg3NWIyNjBkNGM2Y2VhMmEwMDMwNzNhYjIxNWM=</t>
  </si>
  <si>
    <t>TG9jYXRpb246MDAwNTg3MmQyNjBkNGNjODAyNjVlNjRmMTBhMjE2ZWI=</t>
  </si>
  <si>
    <t>TG9jYXRpb246MDAwNzg4MzEyNjIwMTQ0MjBiOTAxOGJlYThlNDVmYzY=</t>
  </si>
  <si>
    <t>TG9jYXRpb246MDAwNzg4MzEyNjIwMTQ0MjExM2VmMjgyNjczYmFiZWQ=</t>
  </si>
  <si>
    <t>TG9jYXRpb246MDAxMzk5MDYyNjQ2ZmY2OWQ5ZDA0NmYwN2QyOTBkNDc=</t>
  </si>
  <si>
    <t>TG9jYXRpb246MDAwNTg3MmQyNjBkNGNjODY1ODBhZjUyMDcwMjc2MGM=</t>
  </si>
  <si>
    <t>TG9jYXRpb246MDAwNzg4MzEyNjIwMTQ0MjE0ZmVjZDMwZjRlNWMyNTU=</t>
  </si>
  <si>
    <t>TG9jYXRpb246MDAwNTg3MmQyNjBkNGNjODYwMjhlMDU1MGIzNGMwOTY=</t>
  </si>
  <si>
    <t>TG9jYXRpb246MDAwNTg3NWMyNjBkNGNkYWQ0MTQ3ZWYzYzNiOTAyNWE=</t>
  </si>
  <si>
    <t>TG9jYXRpb246MDAwNTg3NWIyNjBkNGM2ZDI2MDFmMmY2YWM5YmY2NTI=</t>
  </si>
  <si>
    <t>TG9jYXRpb246MDAwNTg3MmQyNjBkNGNjODNkYzVhYTMxMjNmZTI3MDM=</t>
  </si>
  <si>
    <t>TG9jYXRpb246MDAwNTg3MmQyNjBkNGNjODZjZWNmNTYyZWRlYjQxZTE=</t>
  </si>
  <si>
    <t>TG9jYXRpb246MDAwNTg3NWMyNjBkNGNkYWRkNzM0MDJiZWE0NDlmN2E=</t>
  </si>
  <si>
    <t>TG9jYXRpb246MDAwNTg3MmQyNjBkNGNjODcyNzYzNDBkM2NhM2UzMjY=</t>
  </si>
  <si>
    <t>TG9jYXRpb246MDAwNTg3NWIyNjBkNGM2ZDcwMzQ4YzA1ZjJjZjQ2ZDA=</t>
  </si>
  <si>
    <t>TG9jYXRpb246MDAwNTg3MmQyNjBkNGNjODFlYWZhNTRkZWUzN2M0YzM=</t>
  </si>
  <si>
    <t>TG9jYXRpb246MDAwNTg3NWIyNjBkNGM2YmEyOTRiM2JmZWI5NDg0MGM=</t>
  </si>
  <si>
    <t>TG9jYXRpb246MDAwNTg3MmQyNjBkNGNjODMwZjY0MjJkNmM0OWFmYzQ=</t>
  </si>
  <si>
    <t>TG9jYXRpb246MDAwNTg3NWIyNjBkNGM2ZDQ3MmI1MDcwNWY5ZGQ2YTE=</t>
  </si>
  <si>
    <t>TG9jYXRpb246MDAwNTg3MmQyNjBkNGNjODc3ZThlMDZkZjYxNjJkNmQ=</t>
  </si>
  <si>
    <t>TG9jYXRpb246MDAwNTg3MmQyNjBkNGNjODY5NmYxZjNlNDk5ZjYwZTQ=</t>
  </si>
  <si>
    <t>TG9jYXRpb246MDAwNTg3MmQyNjBkNGNjODBiMTI4YTA3YWJjZDk0ZDM=</t>
  </si>
  <si>
    <t>TG9jYXRpb246MDAwNTg3NWIyNjBkNGM2YjdkY2JmYmQzZWJjZTYyZTU=</t>
  </si>
  <si>
    <t>TG9jYXRpb246MDAwNzg4MzEyNjIwMTQ0MjE4NmI0MzZhZGZjNjhmOTI=</t>
  </si>
  <si>
    <t>TG9jYXRpb246MDAwNTg3NWIyNjBkNGM2YmMxZDcyMjBhMTQ4OTliYjE=</t>
  </si>
  <si>
    <t>TG9jYXRpb246MDAwNTg3NWIyNjBkNGM2ZDVhNDRiNzJjMDVjNGEyYmY=</t>
  </si>
  <si>
    <t>TG9jYXRpb246MDAwNTg3NWIyNjBkNGM2YjZkODg4NzA0MmRkNjRmYzE=</t>
  </si>
  <si>
    <t>TG9jYXRpb246MDAwNTg3NWIyNjBkNGM2YjY4Y2ExN2UzMzg5ZmIwOGM=</t>
  </si>
  <si>
    <t>TG9jYXRpb246MDAwNTg3NWMyNjBkNGNkYWUyOTljMGY1OGI0Zjc3YjU=</t>
  </si>
  <si>
    <t>TG9jYXRpb246MDAwNTg3NWIyNjBkNGM2ZDYzMWVkNjMwNzI4MjQ5NmY=</t>
  </si>
  <si>
    <t>TG9jYXRpb246MDAwNTg3MmQyNjBkNGNjODdjMDI2MDFlYTA2YTg1NGQ=</t>
  </si>
  <si>
    <t>TG9jYXRpb246MDAwNTg3NWIyNjBkNGM2YzdlYjgwNjU0YTI4NTRlMzU=</t>
  </si>
  <si>
    <t>TG9jYXRpb246MDAwNTg3NWIyNjBkNGM2YzVkNGE0NjBhMTUwYWEzNWI=</t>
  </si>
  <si>
    <t>TG9jYXRpb246MDAwNTg3NWIyNjBkNGM2YjcyNTRmZjVmYWRiYTA1OWE=</t>
  </si>
  <si>
    <t>TG9jYXRpb246MDAwNTg3MmQyNjBkNGNjODgwYTAyNTkwNjcyZmNjMzQ=</t>
  </si>
  <si>
    <t>Name</t>
  </si>
  <si>
    <t>South 48</t>
  </si>
  <si>
    <t>Hastings</t>
  </si>
  <si>
    <t>Locust</t>
  </si>
  <si>
    <t>Roseburg</t>
  </si>
  <si>
    <t>Pasco</t>
  </si>
  <si>
    <t>North Platte</t>
  </si>
  <si>
    <t>Eugene</t>
  </si>
  <si>
    <t>Q Street</t>
  </si>
  <si>
    <t>Kearney South</t>
  </si>
  <si>
    <t>Bend 1</t>
  </si>
  <si>
    <t>Great Bend</t>
  </si>
  <si>
    <t>Richland</t>
  </si>
  <si>
    <t>Grant Pass</t>
  </si>
  <si>
    <t>Pendleton</t>
  </si>
  <si>
    <t>Coos Bay</t>
  </si>
  <si>
    <t>Bear Creek</t>
  </si>
  <si>
    <t>Sheridan</t>
  </si>
  <si>
    <t>Cody</t>
  </si>
  <si>
    <t>Garden City</t>
  </si>
  <si>
    <t>Norfolk</t>
  </si>
  <si>
    <t>Dickinson</t>
  </si>
  <si>
    <t>McCook</t>
  </si>
  <si>
    <t>McPherson</t>
  </si>
  <si>
    <t>Lewiston</t>
  </si>
  <si>
    <t>Ogallala</t>
  </si>
  <si>
    <t>Sterling</t>
  </si>
  <si>
    <t>Newton</t>
  </si>
  <si>
    <t>Brush</t>
  </si>
  <si>
    <t>La Grande</t>
  </si>
  <si>
    <t>Kearney North</t>
  </si>
  <si>
    <t>Canfield</t>
  </si>
  <si>
    <t>State</t>
  </si>
  <si>
    <t>Big Y</t>
  </si>
  <si>
    <t>Yankton</t>
  </si>
  <si>
    <t>Columbus</t>
  </si>
  <si>
    <t>Ashland</t>
  </si>
  <si>
    <t>Canal</t>
  </si>
  <si>
    <t>Miles City</t>
  </si>
  <si>
    <t>Moscow</t>
  </si>
  <si>
    <t>Bend 2</t>
  </si>
  <si>
    <t>Newport</t>
  </si>
  <si>
    <t>Ruby</t>
  </si>
  <si>
    <t>Hays 1</t>
  </si>
  <si>
    <t>Appleway</t>
  </si>
  <si>
    <t>Barker</t>
  </si>
  <si>
    <t>Argonne</t>
  </si>
  <si>
    <t>North 27</t>
  </si>
  <si>
    <t>Fancher</t>
  </si>
  <si>
    <t>Sullivan</t>
  </si>
  <si>
    <t>Post Falls</t>
  </si>
  <si>
    <t>North 84</t>
  </si>
  <si>
    <t>Scott City</t>
  </si>
  <si>
    <t>Ellensburg</t>
  </si>
  <si>
    <t>Regal</t>
  </si>
  <si>
    <t>Klamath Falls</t>
  </si>
  <si>
    <t>Fremont</t>
  </si>
  <si>
    <t>Clays Center</t>
  </si>
  <si>
    <t>Dodge City</t>
  </si>
  <si>
    <t>Hays 2</t>
  </si>
  <si>
    <t>Yakima</t>
  </si>
  <si>
    <t>Liberal</t>
  </si>
  <si>
    <t>Moses Lake</t>
  </si>
  <si>
    <t>Ponderay</t>
  </si>
  <si>
    <t>Road 68</t>
  </si>
  <si>
    <t>South Pointe</t>
  </si>
  <si>
    <t>Springfield</t>
  </si>
  <si>
    <t>Stateline</t>
  </si>
  <si>
    <t>Union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</si>
</sst>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2" xfId="0" applyFill="1" applyBorder="1"/>
    <xf numFmtId="0" fontId="0" fillId="0" borderId="2" xfId="0" applyBorder="1"/>
    <xf numFmtId="0" fontId="0" fillId="2" borderId="1" xfId="0" applyNumberFormat="1" applyFill="1" applyBorder="1"/>
    <xf numFmtId="0" fontId="0" fillId="0" borderId="1" xfId="0" applyNumberFormat="1" applyBorder="1"/>
    <xf numFmtId="0" fontId="0" fillId="2" borderId="0" xfId="0" applyNumberFormat="1" applyFill="1" applyBorder="1"/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A11EF86-B1BC-40DB-84C0-3A98285916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topLeftCell="A29" workbookViewId="0">
      <selection activeCell="C2" sqref="C2:C66"/>
    </sheetView>
  </sheetViews>
  <sheetFormatPr defaultRowHeight="15" x14ac:dyDescent="0.25"/>
  <cols>
    <col min="1" max="1" width="18.42578125" bestFit="1" customWidth="1"/>
    <col min="2" max="2" width="18.42578125" customWidth="1"/>
    <col min="3" max="3" width="24.28515625" bestFit="1" customWidth="1"/>
    <col min="4" max="4" width="72.140625" bestFit="1" customWidth="1"/>
  </cols>
  <sheetData>
    <row r="1" spans="1:4" x14ac:dyDescent="0.25">
      <c r="A1" t="s">
        <v>0</v>
      </c>
      <c r="B1" t="s">
        <v>68</v>
      </c>
      <c r="C1" t="s">
        <v>1</v>
      </c>
      <c r="D1" t="s">
        <v>2</v>
      </c>
    </row>
    <row r="2" spans="1:4" x14ac:dyDescent="0.25">
      <c r="A2" s="3">
        <v>10684</v>
      </c>
      <c r="B2" s="5" t="str">
        <f>_xlfn.XLOOKUP(A2,Sheet2!$C$2:$C$68,Sheet2!$B$2:$B$68)</f>
        <v>Scott City</v>
      </c>
      <c r="C2" t="str">
        <f>"Wendy's " &amp; A2 &amp;" - " &amp; B2</f>
        <v>Wendy's 10684 - Scott City</v>
      </c>
      <c r="D2" s="1" t="s">
        <v>3</v>
      </c>
    </row>
    <row r="3" spans="1:4" x14ac:dyDescent="0.25">
      <c r="A3" s="4">
        <v>10816</v>
      </c>
      <c r="B3" s="5" t="str">
        <f>_xlfn.XLOOKUP(A3,Sheet2!$C$2:$C$68,Sheet2!$B$2:$B$68)</f>
        <v>Ellensburg</v>
      </c>
      <c r="C3" t="str">
        <f t="shared" ref="C3:C66" si="0">"Wendy's " &amp; A3 &amp;" - " &amp; B3</f>
        <v>Wendy's 10816 - Ellensburg</v>
      </c>
      <c r="D3" s="2" t="s">
        <v>4</v>
      </c>
    </row>
    <row r="4" spans="1:4" x14ac:dyDescent="0.25">
      <c r="A4" s="3">
        <v>11066</v>
      </c>
      <c r="B4" s="5" t="str">
        <f>_xlfn.XLOOKUP(A4,Sheet2!$C$2:$C$68,Sheet2!$B$2:$B$68)</f>
        <v>Regal</v>
      </c>
      <c r="C4" t="str">
        <f t="shared" si="0"/>
        <v>Wendy's 11066 - Regal</v>
      </c>
      <c r="D4" s="1" t="s">
        <v>5</v>
      </c>
    </row>
    <row r="5" spans="1:4" x14ac:dyDescent="0.25">
      <c r="A5" s="4">
        <v>11087</v>
      </c>
      <c r="B5" s="5" t="str">
        <f>_xlfn.XLOOKUP(A5,Sheet2!$C$2:$C$68,Sheet2!$B$2:$B$68)</f>
        <v>Klamath Falls</v>
      </c>
      <c r="C5" t="str">
        <f t="shared" si="0"/>
        <v>Wendy's 11087 - Klamath Falls</v>
      </c>
      <c r="D5" s="2" t="s">
        <v>6</v>
      </c>
    </row>
    <row r="6" spans="1:4" x14ac:dyDescent="0.25">
      <c r="A6" s="3">
        <v>11088</v>
      </c>
      <c r="B6" s="5" t="str">
        <f>_xlfn.XLOOKUP(A6,Sheet2!$C$2:$C$68,Sheet2!$B$2:$B$68)</f>
        <v>Fremont</v>
      </c>
      <c r="C6" t="str">
        <f t="shared" si="0"/>
        <v>Wendy's 11088 - Fremont</v>
      </c>
      <c r="D6" s="1" t="s">
        <v>7</v>
      </c>
    </row>
    <row r="7" spans="1:4" x14ac:dyDescent="0.25">
      <c r="A7" s="3">
        <v>11145</v>
      </c>
      <c r="B7" s="5" t="str">
        <f>_xlfn.XLOOKUP(A7,Sheet2!$C$2:$C$68,Sheet2!$B$2:$B$68)</f>
        <v>Clays Center</v>
      </c>
      <c r="C7" t="str">
        <f t="shared" si="0"/>
        <v>Wendy's 11145 - Clays Center</v>
      </c>
      <c r="D7" s="1" t="s">
        <v>8</v>
      </c>
    </row>
    <row r="8" spans="1:4" x14ac:dyDescent="0.25">
      <c r="A8" s="4">
        <v>11275</v>
      </c>
      <c r="B8" s="5" t="str">
        <f>_xlfn.XLOOKUP(A8,Sheet2!$C$2:$C$68,Sheet2!$B$2:$B$68)</f>
        <v>Dodge City</v>
      </c>
      <c r="C8" t="str">
        <f t="shared" si="0"/>
        <v>Wendy's 11275 - Dodge City</v>
      </c>
      <c r="D8" s="2" t="s">
        <v>9</v>
      </c>
    </row>
    <row r="9" spans="1:4" x14ac:dyDescent="0.25">
      <c r="A9" s="3">
        <v>11321</v>
      </c>
      <c r="B9" s="5" t="str">
        <f>_xlfn.XLOOKUP(A9,Sheet2!$C$2:$C$68,Sheet2!$B$2:$B$68)</f>
        <v>Hays 2</v>
      </c>
      <c r="C9" t="str">
        <f t="shared" si="0"/>
        <v>Wendy's 11321 - Hays 2</v>
      </c>
      <c r="D9" s="1" t="s">
        <v>10</v>
      </c>
    </row>
    <row r="10" spans="1:4" x14ac:dyDescent="0.25">
      <c r="A10" s="4">
        <v>11745</v>
      </c>
      <c r="B10" s="5" t="str">
        <f>_xlfn.XLOOKUP(A10,Sheet2!$C$2:$C$68,Sheet2!$B$2:$B$68)</f>
        <v>Yakima</v>
      </c>
      <c r="C10" t="str">
        <f t="shared" si="0"/>
        <v>Wendy's 11745 - Yakima</v>
      </c>
      <c r="D10" s="2" t="s">
        <v>11</v>
      </c>
    </row>
    <row r="11" spans="1:4" x14ac:dyDescent="0.25">
      <c r="A11" s="3">
        <v>11881</v>
      </c>
      <c r="B11" s="5" t="str">
        <f>_xlfn.XLOOKUP(A11,Sheet2!$C$2:$C$68,Sheet2!$B$2:$B$68)</f>
        <v>Liberal</v>
      </c>
      <c r="C11" t="str">
        <f t="shared" si="0"/>
        <v>Wendy's 11881 - Liberal</v>
      </c>
      <c r="D11" s="1" t="s">
        <v>12</v>
      </c>
    </row>
    <row r="12" spans="1:4" x14ac:dyDescent="0.25">
      <c r="A12" s="3">
        <v>12251</v>
      </c>
      <c r="B12" s="5" t="str">
        <f>_xlfn.XLOOKUP(A12,Sheet2!$C$2:$C$68,Sheet2!$B$2:$B$68)</f>
        <v>Moses Lake</v>
      </c>
      <c r="C12" t="str">
        <f t="shared" si="0"/>
        <v>Wendy's 12251 - Moses Lake</v>
      </c>
      <c r="D12" s="1" t="s">
        <v>13</v>
      </c>
    </row>
    <row r="13" spans="1:4" x14ac:dyDescent="0.25">
      <c r="A13" s="4">
        <v>12281</v>
      </c>
      <c r="B13" s="5" t="str">
        <f>_xlfn.XLOOKUP(A13,Sheet2!$C$2:$C$68,Sheet2!$B$2:$B$68)</f>
        <v>Ponderay</v>
      </c>
      <c r="C13" t="str">
        <f t="shared" si="0"/>
        <v>Wendy's 12281 - Ponderay</v>
      </c>
      <c r="D13" s="2" t="s">
        <v>14</v>
      </c>
    </row>
    <row r="14" spans="1:4" x14ac:dyDescent="0.25">
      <c r="A14" s="3">
        <v>13019</v>
      </c>
      <c r="B14" s="5" t="str">
        <f>_xlfn.XLOOKUP(A14,Sheet2!$C$2:$C$68,Sheet2!$B$2:$B$68)</f>
        <v>Road 68</v>
      </c>
      <c r="C14" t="str">
        <f t="shared" si="0"/>
        <v>Wendy's 13019 - Road 68</v>
      </c>
      <c r="D14" s="1" t="s">
        <v>15</v>
      </c>
    </row>
    <row r="15" spans="1:4" x14ac:dyDescent="0.25">
      <c r="A15" s="4">
        <v>13240</v>
      </c>
      <c r="B15" s="5" t="str">
        <f>_xlfn.XLOOKUP(A15,Sheet2!$C$2:$C$68,Sheet2!$B$2:$B$68)</f>
        <v>South Pointe</v>
      </c>
      <c r="C15" t="str">
        <f t="shared" si="0"/>
        <v>Wendy's 13240 - South Pointe</v>
      </c>
      <c r="D15" s="2" t="s">
        <v>16</v>
      </c>
    </row>
    <row r="16" spans="1:4" x14ac:dyDescent="0.25">
      <c r="A16" s="3">
        <v>13531</v>
      </c>
      <c r="B16" s="5" t="str">
        <f>_xlfn.XLOOKUP(A16,Sheet2!$C$2:$C$68,Sheet2!$B$2:$B$68)</f>
        <v>Springfield</v>
      </c>
      <c r="C16" t="str">
        <f t="shared" si="0"/>
        <v>Wendy's 13531 - Springfield</v>
      </c>
      <c r="D16" s="1" t="s">
        <v>17</v>
      </c>
    </row>
    <row r="17" spans="1:4" x14ac:dyDescent="0.25">
      <c r="A17" s="3">
        <v>14422</v>
      </c>
      <c r="B17" s="5" t="str">
        <f>_xlfn.XLOOKUP(A17,Sheet2!$C$2:$C$69,Sheet2!$B$2:$B$69)</f>
        <v>Union Gap</v>
      </c>
      <c r="C17" t="str">
        <f t="shared" si="0"/>
        <v>Wendy's 14422 - Union Gap</v>
      </c>
      <c r="D17" s="1" t="s">
        <v>18</v>
      </c>
    </row>
    <row r="18" spans="1:4" x14ac:dyDescent="0.25">
      <c r="A18" s="3">
        <v>2992</v>
      </c>
      <c r="B18" s="5" t="str">
        <f>_xlfn.XLOOKUP(A18,Sheet2!$C$2:$C$68,Sheet2!$B$2:$B$68)</f>
        <v>South 48</v>
      </c>
      <c r="C18" t="str">
        <f t="shared" si="0"/>
        <v>Wendy's 2992 - South 48</v>
      </c>
      <c r="D18" s="1" t="s">
        <v>19</v>
      </c>
    </row>
    <row r="19" spans="1:4" x14ac:dyDescent="0.25">
      <c r="A19" s="4">
        <v>3108</v>
      </c>
      <c r="B19" s="5" t="str">
        <f>_xlfn.XLOOKUP(A19,Sheet2!$C$2:$C$68,Sheet2!$B$2:$B$68)</f>
        <v>Hastings</v>
      </c>
      <c r="C19" t="str">
        <f t="shared" si="0"/>
        <v>Wendy's 3108 - Hastings</v>
      </c>
      <c r="D19" s="2" t="s">
        <v>20</v>
      </c>
    </row>
    <row r="20" spans="1:4" x14ac:dyDescent="0.25">
      <c r="A20" s="3">
        <v>3166</v>
      </c>
      <c r="B20" s="5" t="str">
        <f>_xlfn.XLOOKUP(A20,Sheet2!$C$2:$C$68,Sheet2!$B$2:$B$68)</f>
        <v>Locust</v>
      </c>
      <c r="C20" t="str">
        <f t="shared" si="0"/>
        <v>Wendy's 3166 - Locust</v>
      </c>
      <c r="D20" s="1" t="s">
        <v>21</v>
      </c>
    </row>
    <row r="21" spans="1:4" x14ac:dyDescent="0.25">
      <c r="A21" s="4">
        <v>3261</v>
      </c>
      <c r="B21" s="5" t="str">
        <f>_xlfn.XLOOKUP(A21,Sheet2!$C$2:$C$68,Sheet2!$B$2:$B$68)</f>
        <v>Roseburg</v>
      </c>
      <c r="C21" t="str">
        <f t="shared" si="0"/>
        <v>Wendy's 3261 - Roseburg</v>
      </c>
      <c r="D21" s="2" t="s">
        <v>22</v>
      </c>
    </row>
    <row r="22" spans="1:4" x14ac:dyDescent="0.25">
      <c r="A22" s="3">
        <v>3262</v>
      </c>
      <c r="B22" s="5" t="str">
        <f>_xlfn.XLOOKUP(A22,Sheet2!$C$2:$C$68,Sheet2!$B$2:$B$68)</f>
        <v>Pasco</v>
      </c>
      <c r="C22" t="str">
        <f t="shared" si="0"/>
        <v>Wendy's 3262 - Pasco</v>
      </c>
      <c r="D22" s="1" t="s">
        <v>23</v>
      </c>
    </row>
    <row r="23" spans="1:4" x14ac:dyDescent="0.25">
      <c r="A23" s="4">
        <v>3360</v>
      </c>
      <c r="B23" s="5" t="str">
        <f>_xlfn.XLOOKUP(A23,Sheet2!$C$2:$C$68,Sheet2!$B$2:$B$68)</f>
        <v>North Platte</v>
      </c>
      <c r="C23" t="str">
        <f t="shared" si="0"/>
        <v>Wendy's 3360 - North Platte</v>
      </c>
      <c r="D23" s="2" t="s">
        <v>24</v>
      </c>
    </row>
    <row r="24" spans="1:4" x14ac:dyDescent="0.25">
      <c r="A24" s="3">
        <v>3366</v>
      </c>
      <c r="B24" s="5" t="str">
        <f>_xlfn.XLOOKUP(A24,Sheet2!$C$2:$C$68,Sheet2!$B$2:$B$68)</f>
        <v>Eugene</v>
      </c>
      <c r="C24" t="str">
        <f t="shared" si="0"/>
        <v>Wendy's 3366 - Eugene</v>
      </c>
      <c r="D24" s="1" t="s">
        <v>25</v>
      </c>
    </row>
    <row r="25" spans="1:4" x14ac:dyDescent="0.25">
      <c r="A25" s="4">
        <v>3388</v>
      </c>
      <c r="B25" s="5" t="str">
        <f>_xlfn.XLOOKUP(A25,Sheet2!$C$2:$C$68,Sheet2!$B$2:$B$68)</f>
        <v>Q Street</v>
      </c>
      <c r="C25" t="str">
        <f t="shared" si="0"/>
        <v>Wendy's 3388 - Q Street</v>
      </c>
      <c r="D25" s="2" t="s">
        <v>26</v>
      </c>
    </row>
    <row r="26" spans="1:4" x14ac:dyDescent="0.25">
      <c r="A26" s="3">
        <v>3430</v>
      </c>
      <c r="B26" s="5" t="str">
        <f>_xlfn.XLOOKUP(A26,Sheet2!$C$2:$C$68,Sheet2!$B$2:$B$68)</f>
        <v>Kearney South</v>
      </c>
      <c r="C26" t="str">
        <f t="shared" si="0"/>
        <v>Wendy's 3430 - Kearney South</v>
      </c>
      <c r="D26" s="1" t="s">
        <v>27</v>
      </c>
    </row>
    <row r="27" spans="1:4" x14ac:dyDescent="0.25">
      <c r="A27" s="4">
        <v>3473</v>
      </c>
      <c r="B27" s="5" t="str">
        <f>_xlfn.XLOOKUP(A27,Sheet2!$C$2:$C$68,Sheet2!$B$2:$B$68)</f>
        <v>Bend 1</v>
      </c>
      <c r="C27" t="str">
        <f t="shared" si="0"/>
        <v>Wendy's 3473 - Bend 1</v>
      </c>
      <c r="D27" s="2" t="s">
        <v>28</v>
      </c>
    </row>
    <row r="28" spans="1:4" x14ac:dyDescent="0.25">
      <c r="A28" s="3">
        <v>3477</v>
      </c>
      <c r="B28" s="5" t="str">
        <f>_xlfn.XLOOKUP(A28,Sheet2!$C$2:$C$68,Sheet2!$B$2:$B$68)</f>
        <v>Great Bend</v>
      </c>
      <c r="C28" t="str">
        <f t="shared" si="0"/>
        <v>Wendy's 3477 - Great Bend</v>
      </c>
      <c r="D28" s="1" t="s">
        <v>29</v>
      </c>
    </row>
    <row r="29" spans="1:4" x14ac:dyDescent="0.25">
      <c r="A29" s="4">
        <v>3534</v>
      </c>
      <c r="B29" s="5" t="str">
        <f>_xlfn.XLOOKUP(A29,Sheet2!$C$2:$C$68,Sheet2!$B$2:$B$68)</f>
        <v>Richland</v>
      </c>
      <c r="C29" t="str">
        <f t="shared" si="0"/>
        <v>Wendy's 3534 - Richland</v>
      </c>
      <c r="D29" s="2" t="s">
        <v>30</v>
      </c>
    </row>
    <row r="30" spans="1:4" x14ac:dyDescent="0.25">
      <c r="A30" s="3">
        <v>3583</v>
      </c>
      <c r="B30" s="5" t="str">
        <f>_xlfn.XLOOKUP(A30,Sheet2!$C$2:$C$68,Sheet2!$B$2:$B$68)</f>
        <v>Grant Pass</v>
      </c>
      <c r="C30" t="str">
        <f t="shared" si="0"/>
        <v>Wendy's 3583 - Grant Pass</v>
      </c>
      <c r="D30" s="1" t="s">
        <v>31</v>
      </c>
    </row>
    <row r="31" spans="1:4" x14ac:dyDescent="0.25">
      <c r="A31" s="4">
        <v>3685</v>
      </c>
      <c r="B31" s="5" t="str">
        <f>_xlfn.XLOOKUP(A31,Sheet2!$C$2:$C$68,Sheet2!$B$2:$B$68)</f>
        <v>Pendleton</v>
      </c>
      <c r="C31" t="str">
        <f t="shared" si="0"/>
        <v>Wendy's 3685 - Pendleton</v>
      </c>
      <c r="D31" s="2" t="s">
        <v>32</v>
      </c>
    </row>
    <row r="32" spans="1:4" x14ac:dyDescent="0.25">
      <c r="A32" s="3">
        <v>3738</v>
      </c>
      <c r="B32" s="5" t="str">
        <f>_xlfn.XLOOKUP(A32,Sheet2!$C$2:$C$68,Sheet2!$B$2:$B$68)</f>
        <v>Coos Bay</v>
      </c>
      <c r="C32" t="str">
        <f t="shared" si="0"/>
        <v>Wendy's 3738 - Coos Bay</v>
      </c>
      <c r="D32" s="1" t="s">
        <v>33</v>
      </c>
    </row>
    <row r="33" spans="1:4" x14ac:dyDescent="0.25">
      <c r="A33" s="4">
        <v>3768</v>
      </c>
      <c r="B33" s="5" t="str">
        <f>_xlfn.XLOOKUP(A33,Sheet2!$C$2:$C$68,Sheet2!$B$2:$B$68)</f>
        <v>Bear Creek</v>
      </c>
      <c r="C33" t="str">
        <f t="shared" si="0"/>
        <v>Wendy's 3768 - Bear Creek</v>
      </c>
      <c r="D33" s="2" t="s">
        <v>34</v>
      </c>
    </row>
    <row r="34" spans="1:4" x14ac:dyDescent="0.25">
      <c r="A34" s="3">
        <v>3842</v>
      </c>
      <c r="B34" s="5" t="str">
        <f>_xlfn.XLOOKUP(A34,Sheet2!$C$2:$C$68,Sheet2!$B$2:$B$68)</f>
        <v>Sheridan</v>
      </c>
      <c r="C34" t="str">
        <f t="shared" si="0"/>
        <v>Wendy's 3842 - Sheridan</v>
      </c>
      <c r="D34" s="1" t="s">
        <v>35</v>
      </c>
    </row>
    <row r="35" spans="1:4" x14ac:dyDescent="0.25">
      <c r="A35" s="4">
        <v>3949</v>
      </c>
      <c r="B35" s="5" t="str">
        <f>_xlfn.XLOOKUP(A35,Sheet2!$C$2:$C$68,Sheet2!$B$2:$B$68)</f>
        <v>Cody</v>
      </c>
      <c r="C35" t="str">
        <f t="shared" si="0"/>
        <v>Wendy's 3949 - Cody</v>
      </c>
      <c r="D35" s="2" t="s">
        <v>36</v>
      </c>
    </row>
    <row r="36" spans="1:4" x14ac:dyDescent="0.25">
      <c r="A36" s="3">
        <v>3990</v>
      </c>
      <c r="B36" s="5" t="str">
        <f>_xlfn.XLOOKUP(A36,Sheet2!$C$2:$C$68,Sheet2!$B$2:$B$68)</f>
        <v>Garden City</v>
      </c>
      <c r="C36" t="str">
        <f t="shared" si="0"/>
        <v>Wendy's 3990 - Garden City</v>
      </c>
      <c r="D36" s="1" t="s">
        <v>37</v>
      </c>
    </row>
    <row r="37" spans="1:4" x14ac:dyDescent="0.25">
      <c r="A37" s="3">
        <v>4043</v>
      </c>
      <c r="B37" s="5" t="str">
        <f>_xlfn.XLOOKUP(A37,Sheet2!$C$2:$C$68,Sheet2!$B$2:$B$68)</f>
        <v>Norfolk</v>
      </c>
      <c r="C37" t="str">
        <f t="shared" si="0"/>
        <v>Wendy's 4043 - Norfolk</v>
      </c>
      <c r="D37" s="1" t="s">
        <v>38</v>
      </c>
    </row>
    <row r="38" spans="1:4" x14ac:dyDescent="0.25">
      <c r="A38" s="4">
        <v>4113</v>
      </c>
      <c r="B38" s="5" t="str">
        <f>_xlfn.XLOOKUP(A38,Sheet2!$C$2:$C$68,Sheet2!$B$2:$B$68)</f>
        <v>Dickinson</v>
      </c>
      <c r="C38" t="str">
        <f t="shared" si="0"/>
        <v>Wendy's 4113 - Dickinson</v>
      </c>
      <c r="D38" s="2" t="s">
        <v>39</v>
      </c>
    </row>
    <row r="39" spans="1:4" x14ac:dyDescent="0.25">
      <c r="A39" s="3">
        <v>4179</v>
      </c>
      <c r="B39" s="5" t="str">
        <f>_xlfn.XLOOKUP(A39,Sheet2!$C$2:$C$68,Sheet2!$B$2:$B$68)</f>
        <v>McCook</v>
      </c>
      <c r="C39" t="str">
        <f t="shared" si="0"/>
        <v>Wendy's 4179 - McCook</v>
      </c>
      <c r="D39" s="1" t="s">
        <v>40</v>
      </c>
    </row>
    <row r="40" spans="1:4" x14ac:dyDescent="0.25">
      <c r="A40" s="4">
        <v>4191</v>
      </c>
      <c r="B40" s="5" t="str">
        <f>_xlfn.XLOOKUP(A40,Sheet2!$C$2:$C$68,Sheet2!$B$2:$B$68)</f>
        <v>McPherson</v>
      </c>
      <c r="C40" t="str">
        <f t="shared" si="0"/>
        <v>Wendy's 4191 - McPherson</v>
      </c>
      <c r="D40" s="2" t="s">
        <v>41</v>
      </c>
    </row>
    <row r="41" spans="1:4" x14ac:dyDescent="0.25">
      <c r="A41" s="3">
        <v>4245</v>
      </c>
      <c r="B41" s="5" t="str">
        <f>_xlfn.XLOOKUP(A41,Sheet2!$C$2:$C$68,Sheet2!$B$2:$B$68)</f>
        <v>Lewiston</v>
      </c>
      <c r="C41" t="str">
        <f t="shared" si="0"/>
        <v>Wendy's 4245 - Lewiston</v>
      </c>
      <c r="D41" s="1" t="s">
        <v>42</v>
      </c>
    </row>
    <row r="42" spans="1:4" x14ac:dyDescent="0.25">
      <c r="A42" s="4">
        <v>4311</v>
      </c>
      <c r="B42" s="5" t="str">
        <f>_xlfn.XLOOKUP(A42,Sheet2!$C$2:$C$68,Sheet2!$B$2:$B$68)</f>
        <v>Ogallala</v>
      </c>
      <c r="C42" t="str">
        <f t="shared" si="0"/>
        <v>Wendy's 4311 - Ogallala</v>
      </c>
      <c r="D42" s="2" t="s">
        <v>43</v>
      </c>
    </row>
    <row r="43" spans="1:4" x14ac:dyDescent="0.25">
      <c r="A43" s="3">
        <v>4430</v>
      </c>
      <c r="B43" s="5" t="str">
        <f>_xlfn.XLOOKUP(A43,Sheet2!$C$2:$C$68,Sheet2!$B$2:$B$68)</f>
        <v>Sterling</v>
      </c>
      <c r="C43" t="str">
        <f t="shared" si="0"/>
        <v>Wendy's 4430 - Sterling</v>
      </c>
      <c r="D43" s="1" t="s">
        <v>44</v>
      </c>
    </row>
    <row r="44" spans="1:4" x14ac:dyDescent="0.25">
      <c r="A44" s="4">
        <v>4468</v>
      </c>
      <c r="B44" s="5" t="str">
        <f>_xlfn.XLOOKUP(A44,Sheet2!$C$2:$C$68,Sheet2!$B$2:$B$68)</f>
        <v>Newton</v>
      </c>
      <c r="C44" t="str">
        <f t="shared" si="0"/>
        <v>Wendy's 4468 - Newton</v>
      </c>
      <c r="D44" s="2" t="s">
        <v>45</v>
      </c>
    </row>
    <row r="45" spans="1:4" x14ac:dyDescent="0.25">
      <c r="A45" s="3">
        <v>4512</v>
      </c>
      <c r="B45" s="5" t="str">
        <f>_xlfn.XLOOKUP(A45,Sheet2!$C$2:$C$68,Sheet2!$B$2:$B$68)</f>
        <v>Brush</v>
      </c>
      <c r="C45" t="str">
        <f t="shared" si="0"/>
        <v>Wendy's 4512 - Brush</v>
      </c>
      <c r="D45" s="1" t="s">
        <v>46</v>
      </c>
    </row>
    <row r="46" spans="1:4" x14ac:dyDescent="0.25">
      <c r="A46" s="4">
        <v>4544</v>
      </c>
      <c r="B46" s="5" t="str">
        <f>_xlfn.XLOOKUP(A46,Sheet2!$C$2:$C$68,Sheet2!$B$2:$B$68)</f>
        <v>La Grande</v>
      </c>
      <c r="C46" t="str">
        <f t="shared" si="0"/>
        <v>Wendy's 4544 - La Grande</v>
      </c>
      <c r="D46" s="2" t="s">
        <v>47</v>
      </c>
    </row>
    <row r="47" spans="1:4" x14ac:dyDescent="0.25">
      <c r="A47" s="3">
        <v>4881</v>
      </c>
      <c r="B47" s="5" t="str">
        <f>_xlfn.XLOOKUP(A47,Sheet2!$C$2:$C$68,Sheet2!$B$2:$B$68)</f>
        <v>Kearney North</v>
      </c>
      <c r="C47" t="str">
        <f t="shared" si="0"/>
        <v>Wendy's 4881 - Kearney North</v>
      </c>
      <c r="D47" s="1" t="s">
        <v>48</v>
      </c>
    </row>
    <row r="48" spans="1:4" x14ac:dyDescent="0.25">
      <c r="A48" s="4">
        <v>4957</v>
      </c>
      <c r="B48" s="5" t="str">
        <f>_xlfn.XLOOKUP(A48,Sheet2!$C$2:$C$68,Sheet2!$B$2:$B$68)</f>
        <v>Canfield</v>
      </c>
      <c r="C48" t="str">
        <f t="shared" si="0"/>
        <v>Wendy's 4957 - Canfield</v>
      </c>
      <c r="D48" s="2" t="s">
        <v>49</v>
      </c>
    </row>
    <row r="49" spans="1:4" x14ac:dyDescent="0.25">
      <c r="A49" s="3">
        <v>4972</v>
      </c>
      <c r="B49" s="5" t="str">
        <f>_xlfn.XLOOKUP(A49,Sheet2!$C$2:$C$68,Sheet2!$B$2:$B$68)</f>
        <v>State</v>
      </c>
      <c r="C49" t="str">
        <f t="shared" si="0"/>
        <v>Wendy's 4972 - State</v>
      </c>
      <c r="D49" s="1" t="s">
        <v>50</v>
      </c>
    </row>
    <row r="50" spans="1:4" x14ac:dyDescent="0.25">
      <c r="A50" s="4">
        <v>5092</v>
      </c>
      <c r="B50" s="5" t="str">
        <f>_xlfn.XLOOKUP(A50,Sheet2!$C$2:$C$68,Sheet2!$B$2:$B$68)</f>
        <v>Big Y</v>
      </c>
      <c r="C50" t="str">
        <f t="shared" si="0"/>
        <v>Wendy's 5092 - Big Y</v>
      </c>
      <c r="D50" s="2" t="s">
        <v>51</v>
      </c>
    </row>
    <row r="51" spans="1:4" x14ac:dyDescent="0.25">
      <c r="A51" s="3">
        <v>5133</v>
      </c>
      <c r="B51" s="5" t="str">
        <f>_xlfn.XLOOKUP(A51,Sheet2!$C$2:$C$68,Sheet2!$B$2:$B$68)</f>
        <v>Yankton</v>
      </c>
      <c r="C51" t="str">
        <f t="shared" si="0"/>
        <v>Wendy's 5133 - Yankton</v>
      </c>
      <c r="D51" s="1" t="s">
        <v>52</v>
      </c>
    </row>
    <row r="52" spans="1:4" x14ac:dyDescent="0.25">
      <c r="A52" s="4">
        <v>5178</v>
      </c>
      <c r="B52" s="5" t="str">
        <f>_xlfn.XLOOKUP(A52,Sheet2!$C$2:$C$68,Sheet2!$B$2:$B$68)</f>
        <v>Columbus</v>
      </c>
      <c r="C52" t="str">
        <f t="shared" si="0"/>
        <v>Wendy's 5178 - Columbus</v>
      </c>
      <c r="D52" s="2" t="s">
        <v>53</v>
      </c>
    </row>
    <row r="53" spans="1:4" x14ac:dyDescent="0.25">
      <c r="A53" s="3">
        <v>5229</v>
      </c>
      <c r="B53" s="5" t="str">
        <f>_xlfn.XLOOKUP(A53,Sheet2!$C$2:$C$68,Sheet2!$B$2:$B$68)</f>
        <v>Ashland</v>
      </c>
      <c r="C53" t="str">
        <f t="shared" si="0"/>
        <v>Wendy's 5229 - Ashland</v>
      </c>
      <c r="D53" s="1" t="s">
        <v>54</v>
      </c>
    </row>
    <row r="54" spans="1:4" x14ac:dyDescent="0.25">
      <c r="A54" s="4">
        <v>5454</v>
      </c>
      <c r="B54" s="5" t="str">
        <f>_xlfn.XLOOKUP(A54,Sheet2!$C$2:$C$68,Sheet2!$B$2:$B$68)</f>
        <v>Canal</v>
      </c>
      <c r="C54" t="str">
        <f t="shared" si="0"/>
        <v>Wendy's 5454 - Canal</v>
      </c>
      <c r="D54" s="2" t="s">
        <v>55</v>
      </c>
    </row>
    <row r="55" spans="1:4" x14ac:dyDescent="0.25">
      <c r="A55" s="3">
        <v>5471</v>
      </c>
      <c r="B55" s="5" t="str">
        <f>_xlfn.XLOOKUP(A55,Sheet2!$C$2:$C$68,Sheet2!$B$2:$B$68)</f>
        <v>Miles City</v>
      </c>
      <c r="C55" t="str">
        <f t="shared" si="0"/>
        <v>Wendy's 5471 - Miles City</v>
      </c>
      <c r="D55" s="1" t="s">
        <v>56</v>
      </c>
    </row>
    <row r="56" spans="1:4" x14ac:dyDescent="0.25">
      <c r="A56" s="4">
        <v>5791</v>
      </c>
      <c r="B56" s="5" t="str">
        <f>_xlfn.XLOOKUP(A56,Sheet2!$C$2:$C$68,Sheet2!$B$2:$B$68)</f>
        <v>Moscow</v>
      </c>
      <c r="C56" t="str">
        <f t="shared" si="0"/>
        <v>Wendy's 5791 - Moscow</v>
      </c>
      <c r="D56" s="2" t="s">
        <v>57</v>
      </c>
    </row>
    <row r="57" spans="1:4" x14ac:dyDescent="0.25">
      <c r="A57" s="3">
        <v>7462</v>
      </c>
      <c r="B57" s="5" t="str">
        <f>_xlfn.XLOOKUP(A57,Sheet2!$C$2:$C$68,Sheet2!$B$2:$B$68)</f>
        <v>Bend 2</v>
      </c>
      <c r="C57" t="str">
        <f t="shared" si="0"/>
        <v>Wendy's 7462 - Bend 2</v>
      </c>
      <c r="D57" s="1" t="s">
        <v>58</v>
      </c>
    </row>
    <row r="58" spans="1:4" x14ac:dyDescent="0.25">
      <c r="A58" s="4">
        <v>7640</v>
      </c>
      <c r="B58" s="5" t="str">
        <f>_xlfn.XLOOKUP(A58,Sheet2!$C$2:$C$68,Sheet2!$B$2:$B$68)</f>
        <v>Newport</v>
      </c>
      <c r="C58" t="str">
        <f t="shared" si="0"/>
        <v>Wendy's 7640 - Newport</v>
      </c>
      <c r="D58" s="2" t="s">
        <v>59</v>
      </c>
    </row>
    <row r="59" spans="1:4" x14ac:dyDescent="0.25">
      <c r="A59" s="3">
        <v>7706</v>
      </c>
      <c r="B59" s="5" t="str">
        <f>_xlfn.XLOOKUP(A59,Sheet2!$C$2:$C$68,Sheet2!$B$2:$B$68)</f>
        <v>Ruby</v>
      </c>
      <c r="C59" t="str">
        <f t="shared" si="0"/>
        <v>Wendy's 7706 - Ruby</v>
      </c>
      <c r="D59" s="1" t="s">
        <v>60</v>
      </c>
    </row>
    <row r="60" spans="1:4" x14ac:dyDescent="0.25">
      <c r="A60" s="4">
        <v>8082</v>
      </c>
      <c r="B60" s="5" t="str">
        <f>_xlfn.XLOOKUP(A60,Sheet2!$C$2:$C$68,Sheet2!$B$2:$B$68)</f>
        <v>Hays 1</v>
      </c>
      <c r="C60" t="str">
        <f t="shared" si="0"/>
        <v>Wendy's 8082 - Hays 1</v>
      </c>
      <c r="D60" s="2" t="s">
        <v>61</v>
      </c>
    </row>
    <row r="61" spans="1:4" x14ac:dyDescent="0.25">
      <c r="A61" s="3">
        <v>8406</v>
      </c>
      <c r="B61" s="5" t="str">
        <f>_xlfn.XLOOKUP(A61,Sheet2!$C$2:$C$68,Sheet2!$B$2:$B$68)</f>
        <v>Appleway</v>
      </c>
      <c r="C61" t="str">
        <f t="shared" si="0"/>
        <v>Wendy's 8406 - Appleway</v>
      </c>
      <c r="D61" s="1" t="s">
        <v>62</v>
      </c>
    </row>
    <row r="62" spans="1:4" x14ac:dyDescent="0.25">
      <c r="A62" s="4">
        <v>8707</v>
      </c>
      <c r="B62" s="5" t="str">
        <f>_xlfn.XLOOKUP(A62,Sheet2!$C$2:$C$68,Sheet2!$B$2:$B$68)</f>
        <v>North 27</v>
      </c>
      <c r="C62" t="str">
        <f t="shared" si="0"/>
        <v>Wendy's 8707 - North 27</v>
      </c>
      <c r="D62" s="2" t="s">
        <v>63</v>
      </c>
    </row>
    <row r="63" spans="1:4" x14ac:dyDescent="0.25">
      <c r="A63" s="3">
        <v>8830</v>
      </c>
      <c r="B63" s="5" t="str">
        <f>_xlfn.XLOOKUP(A63,Sheet2!$C$2:$C$68,Sheet2!$B$2:$B$68)</f>
        <v>Fancher</v>
      </c>
      <c r="C63" t="str">
        <f t="shared" si="0"/>
        <v>Wendy's 8830 - Fancher</v>
      </c>
      <c r="D63" s="1" t="s">
        <v>64</v>
      </c>
    </row>
    <row r="64" spans="1:4" x14ac:dyDescent="0.25">
      <c r="A64" s="4">
        <v>9036</v>
      </c>
      <c r="B64" s="5" t="str">
        <f>_xlfn.XLOOKUP(A64,Sheet2!$C$2:$C$68,Sheet2!$B$2:$B$68)</f>
        <v>Sullivan</v>
      </c>
      <c r="C64" t="str">
        <f t="shared" si="0"/>
        <v>Wendy's 9036 - Sullivan</v>
      </c>
      <c r="D64" s="2" t="s">
        <v>65</v>
      </c>
    </row>
    <row r="65" spans="1:4" x14ac:dyDescent="0.25">
      <c r="A65" s="3">
        <v>9082</v>
      </c>
      <c r="B65" s="5" t="str">
        <f>_xlfn.XLOOKUP(A65,Sheet2!$C$2:$C$68,Sheet2!$B$2:$B$68)</f>
        <v>Post Falls</v>
      </c>
      <c r="C65" t="str">
        <f t="shared" si="0"/>
        <v>Wendy's 9082 - Post Falls</v>
      </c>
      <c r="D65" s="1" t="s">
        <v>66</v>
      </c>
    </row>
    <row r="66" spans="1:4" x14ac:dyDescent="0.25">
      <c r="A66" s="3">
        <v>9497</v>
      </c>
      <c r="B66" s="5" t="str">
        <f>_xlfn.XLOOKUP(A66,Sheet2!$C$2:$C$68,Sheet2!$B$2:$B$68)</f>
        <v>North 84</v>
      </c>
      <c r="C66" t="str">
        <f t="shared" si="0"/>
        <v>Wendy's 9497 - North 84</v>
      </c>
      <c r="D66" s="1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7ABF-7C2C-4FA6-B019-4CFBE3C299DC}">
  <dimension ref="B2:C69"/>
  <sheetViews>
    <sheetView topLeftCell="A32" workbookViewId="0">
      <selection activeCell="B70" sqref="B70"/>
    </sheetView>
  </sheetViews>
  <sheetFormatPr defaultRowHeight="15" x14ac:dyDescent="0.25"/>
  <sheetData>
    <row r="2" spans="2:3" x14ac:dyDescent="0.25">
      <c r="B2" s="6" t="s">
        <v>69</v>
      </c>
      <c r="C2" s="7">
        <v>2992</v>
      </c>
    </row>
    <row r="3" spans="2:3" x14ac:dyDescent="0.25">
      <c r="B3" s="8" t="s">
        <v>70</v>
      </c>
      <c r="C3" s="9">
        <v>3108</v>
      </c>
    </row>
    <row r="4" spans="2:3" x14ac:dyDescent="0.25">
      <c r="B4" s="6" t="s">
        <v>71</v>
      </c>
      <c r="C4" s="7">
        <v>3166</v>
      </c>
    </row>
    <row r="5" spans="2:3" x14ac:dyDescent="0.25">
      <c r="B5" s="8" t="s">
        <v>72</v>
      </c>
      <c r="C5" s="9">
        <v>3261</v>
      </c>
    </row>
    <row r="6" spans="2:3" x14ac:dyDescent="0.25">
      <c r="B6" s="6" t="s">
        <v>73</v>
      </c>
      <c r="C6" s="7">
        <v>3262</v>
      </c>
    </row>
    <row r="7" spans="2:3" x14ac:dyDescent="0.25">
      <c r="B7" s="8" t="s">
        <v>74</v>
      </c>
      <c r="C7" s="9">
        <v>3360</v>
      </c>
    </row>
    <row r="8" spans="2:3" x14ac:dyDescent="0.25">
      <c r="B8" s="6" t="s">
        <v>75</v>
      </c>
      <c r="C8" s="7">
        <v>3366</v>
      </c>
    </row>
    <row r="9" spans="2:3" x14ac:dyDescent="0.25">
      <c r="B9" s="8" t="s">
        <v>76</v>
      </c>
      <c r="C9" s="9">
        <v>3388</v>
      </c>
    </row>
    <row r="10" spans="2:3" x14ac:dyDescent="0.25">
      <c r="B10" s="6" t="s">
        <v>77</v>
      </c>
      <c r="C10" s="7">
        <v>3430</v>
      </c>
    </row>
    <row r="11" spans="2:3" x14ac:dyDescent="0.25">
      <c r="B11" s="8" t="s">
        <v>78</v>
      </c>
      <c r="C11" s="9">
        <v>3473</v>
      </c>
    </row>
    <row r="12" spans="2:3" x14ac:dyDescent="0.25">
      <c r="B12" s="6" t="s">
        <v>79</v>
      </c>
      <c r="C12" s="7">
        <v>3477</v>
      </c>
    </row>
    <row r="13" spans="2:3" x14ac:dyDescent="0.25">
      <c r="B13" s="8" t="s">
        <v>80</v>
      </c>
      <c r="C13" s="9">
        <v>3534</v>
      </c>
    </row>
    <row r="14" spans="2:3" x14ac:dyDescent="0.25">
      <c r="B14" s="6" t="s">
        <v>81</v>
      </c>
      <c r="C14" s="7">
        <v>3583</v>
      </c>
    </row>
    <row r="15" spans="2:3" x14ac:dyDescent="0.25">
      <c r="B15" s="8" t="s">
        <v>82</v>
      </c>
      <c r="C15" s="9">
        <v>3685</v>
      </c>
    </row>
    <row r="16" spans="2:3" x14ac:dyDescent="0.25">
      <c r="B16" s="6" t="s">
        <v>83</v>
      </c>
      <c r="C16" s="7">
        <v>3738</v>
      </c>
    </row>
    <row r="17" spans="2:3" x14ac:dyDescent="0.25">
      <c r="B17" s="8" t="s">
        <v>84</v>
      </c>
      <c r="C17" s="9">
        <v>3768</v>
      </c>
    </row>
    <row r="18" spans="2:3" x14ac:dyDescent="0.25">
      <c r="B18" s="6" t="s">
        <v>85</v>
      </c>
      <c r="C18" s="7">
        <v>3842</v>
      </c>
    </row>
    <row r="19" spans="2:3" x14ac:dyDescent="0.25">
      <c r="B19" s="8" t="s">
        <v>86</v>
      </c>
      <c r="C19" s="9">
        <v>3949</v>
      </c>
    </row>
    <row r="20" spans="2:3" x14ac:dyDescent="0.25">
      <c r="B20" s="6" t="s">
        <v>87</v>
      </c>
      <c r="C20" s="7">
        <v>3990</v>
      </c>
    </row>
    <row r="21" spans="2:3" x14ac:dyDescent="0.25">
      <c r="B21" s="8" t="s">
        <v>88</v>
      </c>
      <c r="C21" s="9">
        <v>4043</v>
      </c>
    </row>
    <row r="22" spans="2:3" x14ac:dyDescent="0.25">
      <c r="B22" s="6" t="s">
        <v>89</v>
      </c>
      <c r="C22" s="7">
        <v>4113</v>
      </c>
    </row>
    <row r="23" spans="2:3" x14ac:dyDescent="0.25">
      <c r="B23" s="8" t="s">
        <v>90</v>
      </c>
      <c r="C23" s="9">
        <v>4179</v>
      </c>
    </row>
    <row r="24" spans="2:3" x14ac:dyDescent="0.25">
      <c r="B24" s="6" t="s">
        <v>91</v>
      </c>
      <c r="C24" s="7">
        <v>4191</v>
      </c>
    </row>
    <row r="25" spans="2:3" x14ac:dyDescent="0.25">
      <c r="B25" s="8" t="s">
        <v>92</v>
      </c>
      <c r="C25" s="9">
        <v>4245</v>
      </c>
    </row>
    <row r="26" spans="2:3" x14ac:dyDescent="0.25">
      <c r="B26" s="6" t="s">
        <v>93</v>
      </c>
      <c r="C26" s="7">
        <v>4311</v>
      </c>
    </row>
    <row r="27" spans="2:3" x14ac:dyDescent="0.25">
      <c r="B27" s="8" t="s">
        <v>94</v>
      </c>
      <c r="C27" s="9">
        <v>4430</v>
      </c>
    </row>
    <row r="28" spans="2:3" x14ac:dyDescent="0.25">
      <c r="B28" s="6" t="s">
        <v>95</v>
      </c>
      <c r="C28" s="7">
        <v>4468</v>
      </c>
    </row>
    <row r="29" spans="2:3" x14ac:dyDescent="0.25">
      <c r="B29" s="8" t="s">
        <v>96</v>
      </c>
      <c r="C29" s="9">
        <v>4512</v>
      </c>
    </row>
    <row r="30" spans="2:3" x14ac:dyDescent="0.25">
      <c r="B30" s="6" t="s">
        <v>97</v>
      </c>
      <c r="C30" s="7">
        <v>4544</v>
      </c>
    </row>
    <row r="31" spans="2:3" x14ac:dyDescent="0.25">
      <c r="B31" s="8" t="s">
        <v>98</v>
      </c>
      <c r="C31" s="9">
        <v>4881</v>
      </c>
    </row>
    <row r="32" spans="2:3" x14ac:dyDescent="0.25">
      <c r="B32" s="6" t="s">
        <v>99</v>
      </c>
      <c r="C32" s="7">
        <v>4957</v>
      </c>
    </row>
    <row r="33" spans="2:3" x14ac:dyDescent="0.25">
      <c r="B33" s="8" t="s">
        <v>100</v>
      </c>
      <c r="C33" s="9">
        <v>4972</v>
      </c>
    </row>
    <row r="34" spans="2:3" x14ac:dyDescent="0.25">
      <c r="B34" s="6" t="s">
        <v>101</v>
      </c>
      <c r="C34" s="7">
        <v>5092</v>
      </c>
    </row>
    <row r="35" spans="2:3" x14ac:dyDescent="0.25">
      <c r="B35" s="8" t="s">
        <v>102</v>
      </c>
      <c r="C35" s="9">
        <v>5133</v>
      </c>
    </row>
    <row r="36" spans="2:3" x14ac:dyDescent="0.25">
      <c r="B36" s="6" t="s">
        <v>103</v>
      </c>
      <c r="C36" s="7">
        <v>5178</v>
      </c>
    </row>
    <row r="37" spans="2:3" x14ac:dyDescent="0.25">
      <c r="B37" s="8" t="s">
        <v>104</v>
      </c>
      <c r="C37" s="9">
        <v>5229</v>
      </c>
    </row>
    <row r="38" spans="2:3" x14ac:dyDescent="0.25">
      <c r="B38" s="6" t="s">
        <v>105</v>
      </c>
      <c r="C38" s="7">
        <v>5454</v>
      </c>
    </row>
    <row r="39" spans="2:3" x14ac:dyDescent="0.25">
      <c r="B39" s="8" t="s">
        <v>106</v>
      </c>
      <c r="C39" s="9">
        <v>5471</v>
      </c>
    </row>
    <row r="40" spans="2:3" x14ac:dyDescent="0.25">
      <c r="B40" s="6" t="s">
        <v>107</v>
      </c>
      <c r="C40" s="7">
        <v>5791</v>
      </c>
    </row>
    <row r="41" spans="2:3" x14ac:dyDescent="0.25">
      <c r="B41" s="8" t="s">
        <v>108</v>
      </c>
      <c r="C41" s="9">
        <v>7462</v>
      </c>
    </row>
    <row r="42" spans="2:3" x14ac:dyDescent="0.25">
      <c r="B42" s="6" t="s">
        <v>109</v>
      </c>
      <c r="C42" s="7">
        <v>7640</v>
      </c>
    </row>
    <row r="43" spans="2:3" x14ac:dyDescent="0.25">
      <c r="B43" s="8" t="s">
        <v>110</v>
      </c>
      <c r="C43" s="9">
        <v>7706</v>
      </c>
    </row>
    <row r="44" spans="2:3" x14ac:dyDescent="0.25">
      <c r="B44" s="6" t="s">
        <v>111</v>
      </c>
      <c r="C44" s="7">
        <v>8082</v>
      </c>
    </row>
    <row r="45" spans="2:3" x14ac:dyDescent="0.25">
      <c r="B45" s="8" t="s">
        <v>112</v>
      </c>
      <c r="C45" s="9">
        <v>8406</v>
      </c>
    </row>
    <row r="46" spans="2:3" x14ac:dyDescent="0.25">
      <c r="B46" s="6" t="s">
        <v>113</v>
      </c>
      <c r="C46" s="7">
        <v>8409</v>
      </c>
    </row>
    <row r="47" spans="2:3" x14ac:dyDescent="0.25">
      <c r="B47" s="8" t="s">
        <v>114</v>
      </c>
      <c r="C47" s="9">
        <v>8412</v>
      </c>
    </row>
    <row r="48" spans="2:3" x14ac:dyDescent="0.25">
      <c r="B48" s="6" t="s">
        <v>115</v>
      </c>
      <c r="C48" s="7">
        <v>8707</v>
      </c>
    </row>
    <row r="49" spans="2:3" x14ac:dyDescent="0.25">
      <c r="B49" s="8" t="s">
        <v>116</v>
      </c>
      <c r="C49" s="9">
        <v>8830</v>
      </c>
    </row>
    <row r="50" spans="2:3" x14ac:dyDescent="0.25">
      <c r="B50" s="6" t="s">
        <v>117</v>
      </c>
      <c r="C50" s="7">
        <v>9036</v>
      </c>
    </row>
    <row r="51" spans="2:3" x14ac:dyDescent="0.25">
      <c r="B51" s="8" t="s">
        <v>118</v>
      </c>
      <c r="C51" s="9">
        <v>9082</v>
      </c>
    </row>
    <row r="52" spans="2:3" x14ac:dyDescent="0.25">
      <c r="B52" s="6" t="s">
        <v>119</v>
      </c>
      <c r="C52" s="7">
        <v>9497</v>
      </c>
    </row>
    <row r="53" spans="2:3" x14ac:dyDescent="0.25">
      <c r="B53" s="8" t="s">
        <v>120</v>
      </c>
      <c r="C53" s="9">
        <v>10684</v>
      </c>
    </row>
    <row r="54" spans="2:3" x14ac:dyDescent="0.25">
      <c r="B54" s="6" t="s">
        <v>121</v>
      </c>
      <c r="C54" s="7">
        <v>10816</v>
      </c>
    </row>
    <row r="55" spans="2:3" x14ac:dyDescent="0.25">
      <c r="B55" s="8" t="s">
        <v>122</v>
      </c>
      <c r="C55" s="9">
        <v>11066</v>
      </c>
    </row>
    <row r="56" spans="2:3" x14ac:dyDescent="0.25">
      <c r="B56" s="6" t="s">
        <v>123</v>
      </c>
      <c r="C56" s="7">
        <v>11087</v>
      </c>
    </row>
    <row r="57" spans="2:3" x14ac:dyDescent="0.25">
      <c r="B57" s="8" t="s">
        <v>124</v>
      </c>
      <c r="C57" s="9">
        <v>11088</v>
      </c>
    </row>
    <row r="58" spans="2:3" x14ac:dyDescent="0.25">
      <c r="B58" s="6" t="s">
        <v>125</v>
      </c>
      <c r="C58" s="7">
        <v>11145</v>
      </c>
    </row>
    <row r="59" spans="2:3" x14ac:dyDescent="0.25">
      <c r="B59" s="8" t="s">
        <v>126</v>
      </c>
      <c r="C59" s="9">
        <v>11275</v>
      </c>
    </row>
    <row r="60" spans="2:3" x14ac:dyDescent="0.25">
      <c r="B60" s="6" t="s">
        <v>127</v>
      </c>
      <c r="C60" s="7">
        <v>11321</v>
      </c>
    </row>
    <row r="61" spans="2:3" x14ac:dyDescent="0.25">
      <c r="B61" s="8" t="s">
        <v>128</v>
      </c>
      <c r="C61" s="9">
        <v>11745</v>
      </c>
    </row>
    <row r="62" spans="2:3" x14ac:dyDescent="0.25">
      <c r="B62" s="6" t="s">
        <v>129</v>
      </c>
      <c r="C62" s="7">
        <v>11881</v>
      </c>
    </row>
    <row r="63" spans="2:3" x14ac:dyDescent="0.25">
      <c r="B63" s="8" t="s">
        <v>130</v>
      </c>
      <c r="C63" s="9">
        <v>12251</v>
      </c>
    </row>
    <row r="64" spans="2:3" x14ac:dyDescent="0.25">
      <c r="B64" s="6" t="s">
        <v>131</v>
      </c>
      <c r="C64" s="7">
        <v>12281</v>
      </c>
    </row>
    <row r="65" spans="2:3" x14ac:dyDescent="0.25">
      <c r="B65" s="8" t="s">
        <v>132</v>
      </c>
      <c r="C65" s="9">
        <v>13019</v>
      </c>
    </row>
    <row r="66" spans="2:3" x14ac:dyDescent="0.25">
      <c r="B66" s="6" t="s">
        <v>133</v>
      </c>
      <c r="C66" s="7">
        <v>13240</v>
      </c>
    </row>
    <row r="67" spans="2:3" x14ac:dyDescent="0.25">
      <c r="B67" s="8" t="s">
        <v>134</v>
      </c>
      <c r="C67" s="9">
        <v>13531</v>
      </c>
    </row>
    <row r="68" spans="2:3" x14ac:dyDescent="0.25">
      <c r="B68" s="6" t="s">
        <v>135</v>
      </c>
      <c r="C68" s="7">
        <v>14205</v>
      </c>
    </row>
    <row r="69" spans="2:3" x14ac:dyDescent="0.25">
      <c r="B69" s="11" t="s">
        <v>136</v>
      </c>
      <c r="C69" s="10">
        <v>14422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Kuran</dc:creator>
  <cp:lastModifiedBy>Chuck Kuran</cp:lastModifiedBy>
  <dcterms:created xsi:type="dcterms:W3CDTF">2015-06-05T18:17:20Z</dcterms:created>
  <dcterms:modified xsi:type="dcterms:W3CDTF">2026-01-25T21:16:51Z</dcterms:modified>
</cp:coreProperties>
</file>